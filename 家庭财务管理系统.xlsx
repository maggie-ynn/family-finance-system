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财务仪表盘" sheetId="1"/>
    <sheet r:id="rId2" name="账户入金" sheetId="2"/>
    <sheet r:id="rId3" name="贷款还款" sheetId="3"/>
    <sheet r:id="rId4" name="报税记录" sheetId="4"/>
    <sheet r:id="rId5" name="免税账户管理" sheetId="5"/>
    <sheet r:id="rId6" name="教育账户管理" sheetId="6"/>
    <sheet r:id="rId7" name="收入支出跟踪" sheetId="7"/>
  </sheets>
  <calcPr calcId="0" iterateCount="100" iterateDelta="0.001"/>
</workbook>
</file>

<file path=xl/sharedStrings.xml><?xml version="1.0" encoding="utf-8"?>
<sst xmlns="http://schemas.openxmlformats.org/spreadsheetml/2006/main" count="63" uniqueCount="63">
  <si>
    <t>家庭财务概览</t>
  </si>
  <si>
    <t>资金流入</t>
  </si>
  <si>
    <t>点击查看明细</t>
  </si>
  <si>
    <t>负债管理</t>
  </si>
  <si>
    <t>税务管理</t>
  </si>
  <si>
    <t>免税账户</t>
  </si>
  <si>
    <t>教育基金</t>
  </si>
  <si>
    <t>收支明细</t>
  </si>
  <si>
    <t>关键指标汇总</t>
  </si>
  <si>
    <t>总入金金额</t>
  </si>
  <si>
    <t>总还款金额</t>
  </si>
  <si>
    <t>总报税金额</t>
  </si>
  <si>
    <t>总缴税金额</t>
  </si>
  <si>
    <t>免税账户余额</t>
  </si>
  <si>
    <t>教育账户余额</t>
  </si>
  <si>
    <t>入金时间</t>
  </si>
  <si>
    <t>资金来源</t>
  </si>
  <si>
    <t>存入银行</t>
  </si>
  <si>
    <t>入金金额</t>
  </si>
  <si>
    <t>是否有支撑材料</t>
  </si>
  <si>
    <t>备注</t>
  </si>
  <si>
    <t>累计入金</t>
  </si>
  <si>
    <t>说明：直接在此表格录入数据</t>
  </si>
  <si>
    <t>还款类型</t>
  </si>
  <si>
    <t>还款日期</t>
  </si>
  <si>
    <t>还款金额</t>
  </si>
  <si>
    <t>贷款类型</t>
  </si>
  <si>
    <t>期数</t>
  </si>
  <si>
    <t>本月利息</t>
  </si>
  <si>
    <t>本月本金</t>
  </si>
  <si>
    <t>累计还款</t>
  </si>
  <si>
    <t>报税年份</t>
  </si>
  <si>
    <t>报税日期</t>
  </si>
  <si>
    <t>申报收入</t>
  </si>
  <si>
    <t>应纳税所得额</t>
  </si>
  <si>
    <t>报税金额</t>
  </si>
  <si>
    <t>实际缴税金额</t>
  </si>
  <si>
    <t>补缴/退税</t>
  </si>
  <si>
    <t>申报状态</t>
  </si>
  <si>
    <t>附件</t>
  </si>
  <si>
    <t>账户名称</t>
  </si>
  <si>
    <t>银行名称</t>
  </si>
  <si>
    <t>账户类型</t>
  </si>
  <si>
    <t>账户余额</t>
  </si>
  <si>
    <t>年度投资收益</t>
  </si>
  <si>
    <t>年度取款</t>
  </si>
  <si>
    <t>剩余额度</t>
  </si>
  <si>
    <t>开户日期</t>
  </si>
  <si>
    <t>状态</t>
  </si>
  <si>
    <t>学生姓名</t>
  </si>
  <si>
    <t>年度存入</t>
  </si>
  <si>
    <t>年度支取</t>
  </si>
  <si>
    <t>教育阶段</t>
  </si>
  <si>
    <t>交易日期</t>
  </si>
  <si>
    <t>交易类型</t>
  </si>
  <si>
    <t>收支类别</t>
  </si>
  <si>
    <t>金额</t>
  </si>
  <si>
    <t>账户</t>
  </si>
  <si>
    <t>交易对象</t>
  </si>
  <si>
    <t>项目/描述</t>
  </si>
  <si>
    <t>凭证附件</t>
  </si>
  <si>
    <t>是否分期</t>
  </si>
  <si>
    <t>分期数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</si>
</sst>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b val="0"/>
      <i val="0"/>
      <sz val="11"/>
      <color theme="1"/>
      <name val="Calibri"/>
      <scheme val="minor"/>
    </font>
    <font>
      <b/>
      <i val="0"/>
      <sz val="16"/>
      <color rgb="FF4472C4"/>
      <name val="微软雅黑"/>
    </font>
    <font>
      <b/>
      <i val="0"/>
      <sz val="11"/>
      <color auto="1"/>
      <name val="微软雅黑"/>
    </font>
    <font>
      <b val="0"/>
      <i val="0"/>
      <u/>
      <sz val="10"/>
      <color rgb="FF4472C4"/>
      <name val="微软雅黑"/>
    </font>
    <font>
      <b val="0"/>
      <i val="0"/>
      <sz val="10"/>
      <color auto="1"/>
      <name val="微软雅黑"/>
    </font>
    <font>
      <b/>
      <i val="0"/>
      <sz val="12"/>
      <color rgb="FFFFFFFF"/>
      <name val="微软雅黑"/>
    </font>
    <font>
      <b/>
      <i val="0"/>
      <sz val="10"/>
      <color auto="1"/>
      <name val="微软雅黑"/>
    </font>
    <font>
      <b val="0"/>
      <i/>
      <sz val="9"/>
      <color rgb="FF666666"/>
      <name val="微软雅黑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1" fillId="0" borderId="1" xfId="0" quotePrefix="0">
      <alignment horizontal="center" vertical="center"/>
    </xf>
    <xf numFmtId="0" fontId="2" fillId="2" borderId="3" xfId="0" quotePrefix="0">
      <alignment horizontal="center" vertical="center"/>
    </xf>
    <xf numFmtId="0" fontId="3" fillId="0" borderId="3" xfId="0" quotePrefix="0">
      <alignment horizontal="center" vertical="center"/>
    </xf>
    <xf numFmtId="0" fontId="4" fillId="0" borderId="3" xfId="0" quotePrefix="0">
      <alignment horizontal="center" vertical="center"/>
    </xf>
    <xf numFmtId="0" fontId="5" fillId="3" borderId="1" xfId="0" quotePrefix="0">
      <alignment horizontal="center" vertical="center"/>
    </xf>
    <xf numFmtId="0" fontId="4" fillId="0" borderId="3" xfId="0" quotePrefix="0">
      <alignment horizontal="left" vertical="center"/>
    </xf>
    <xf numFmtId="0" fontId="6" fillId="0" borderId="3" xfId="0" quotePrefix="0">
      <alignment horizontal="center" vertical="center"/>
    </xf>
    <xf numFmtId="0" fontId="0" fillId="0" borderId="3" xfId="0" quotePrefix="0"/>
    <xf numFmtId="0" fontId="5" fillId="3" borderId="3" xfId="0" quotePrefix="0">
      <alignment horizontal="center" vertical="center"/>
    </xf>
    <xf numFmtId="0" fontId="4" fillId="4" borderId="3" xfId="0" quotePrefix="0">
      <alignment horizontal="center" vertical="center"/>
    </xf>
    <xf numFmtId="0" fontId="7" fillId="0" borderId="1" xfId="0" quotePrefix="0">
      <alignment horizontal="left" vertical="center"/>
    </xf>
    <xf numFmtId="0" fontId="4" fillId="5" borderId="3" xfId="0" quotePrefix="0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#&apos;&#36134;&#25143;&#20837;&#37329;&apos;!A1" Type="http://schemas.openxmlformats.org/officeDocument/2006/relationships/hyperlink" TargetMode="External"/><Relationship Id="rId2" Target="#&apos;&#36151;&#27454;&#36824;&#27454;&apos;!A1" Type="http://schemas.openxmlformats.org/officeDocument/2006/relationships/hyperlink" TargetMode="External"/><Relationship Id="rId3" Target="#&apos;&#25253;&#31246;&#35760;&#24405;&apos;!A1" Type="http://schemas.openxmlformats.org/officeDocument/2006/relationships/hyperlink" TargetMode="External"/><Relationship Id="rId4" Target="#&apos;&#20813;&#31246;&#36134;&#25143;&#31649;&#29702;&apos;!A1" Type="http://schemas.openxmlformats.org/officeDocument/2006/relationships/hyperlink" TargetMode="External"/><Relationship Id="rId5" Target="#&apos;&#25945;&#32946;&#36134;&#25143;&#31649;&#29702;&apos;!A1" Type="http://schemas.openxmlformats.org/officeDocument/2006/relationships/hyperlink" TargetMode="External"/><Relationship Id="rId6" Target="#&apos;&#25910;&#20837;&#25903;&#20986;&#36319;&#36394;&apos;!A1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34791C8-5658-7C66-B258-6686DA857FF6}" mc:Ignorable="x14ac xr xr2 xr3">
  <dimension ref="A1:C17"/>
  <sheetViews>
    <sheetView topLeftCell="A1" workbookViewId="0" tabSelected="1">
      <selection activeCell="A9" sqref="A9"/>
    </sheetView>
  </sheetViews>
  <sheetFormatPr defaultRowHeight="15" defaultColWidth="9.140625" customHeight="1"/>
  <cols>
    <col min="1" max="1" width="25.00390625" customWidth="1"/>
    <col min="2" max="2" width="20.00390625" customWidth="1"/>
    <col min="3" max="3" width="25.00390625" customWidth="1"/>
  </cols>
  <sheetData>
    <row r="1" ht="24.75" customHeight="1">
      <c r="A1" s="1" t="s">
        <v>0</v>
      </c>
    </row>
    <row r="2" ht="24.75" customHeight="1"/>
    <row r="3" ht="24.75" customHeight="1">
      <c r="A3" s="2" t="s">
        <v>1</v>
      </c>
      <c r="B3" s="3" t="s">
        <v>2</v>
      </c>
      <c r="C3" s="4">
        <f>COUNTA(账户入金!A:A)-1</f>
        <v>1</v>
      </c>
    </row>
    <row r="4" ht="24.75" customHeight="1">
      <c r="A4" s="2" t="s">
        <v>3</v>
      </c>
      <c r="B4" s="3" t="s">
        <v>2</v>
      </c>
      <c r="C4" s="4">
        <f>COUNTA(贷款还款!A:A)-1</f>
        <v>1</v>
      </c>
    </row>
    <row r="5" ht="24.75" customHeight="1">
      <c r="A5" s="2" t="s">
        <v>4</v>
      </c>
      <c r="B5" s="3" t="s">
        <v>2</v>
      </c>
      <c r="C5" s="4">
        <f>COUNTA(报税记录!A:A)-1</f>
        <v>1</v>
      </c>
    </row>
    <row r="6" ht="24.75" customHeight="1">
      <c r="A6" s="2" t="s">
        <v>5</v>
      </c>
      <c r="B6" s="3" t="s">
        <v>2</v>
      </c>
      <c r="C6" s="4">
        <f>COUNTA(免税账户管理!A:A)-1</f>
        <v>1</v>
      </c>
    </row>
    <row r="7" ht="24.75" customHeight="1">
      <c r="A7" s="2" t="s">
        <v>6</v>
      </c>
      <c r="B7" s="3" t="s">
        <v>2</v>
      </c>
      <c r="C7" s="4">
        <f>COUNTA(教育账户管理!A:A)-1</f>
        <v>1</v>
      </c>
    </row>
    <row r="8" ht="24.75" customHeight="1">
      <c r="A8" s="2" t="s">
        <v>7</v>
      </c>
      <c r="B8" s="3" t="s">
        <v>2</v>
      </c>
      <c r="C8" s="4">
        <f>COUNTA(收入支出跟踪!A:A)-1</f>
        <v>1</v>
      </c>
    </row>
    <row r="9" ht="24.75" customHeight="1"/>
    <row r="10" ht="24.75" customHeight="1"/>
    <row r="11" ht="24.75" customHeight="1">
      <c r="A11" s="5" t="s">
        <v>8</v>
      </c>
    </row>
    <row r="12" ht="24.75" customHeight="1">
      <c r="A12" s="6" t="s">
        <v>9</v>
      </c>
      <c r="B12" s="7">
        <f>SUM(账户入金!E:E)</f>
        <v>0</v>
      </c>
      <c r="C12" s="8"/>
    </row>
    <row r="13" ht="24.75" customHeight="1">
      <c r="A13" s="6" t="s">
        <v>10</v>
      </c>
      <c r="B13" s="7">
        <f>SUM(贷款还款!C:C)</f>
        <v>0</v>
      </c>
      <c r="C13" s="8"/>
    </row>
    <row r="14" ht="24.75" customHeight="1">
      <c r="A14" s="6" t="s">
        <v>11</v>
      </c>
      <c r="B14" s="7">
        <f>SUM(报税记录!E:E)</f>
        <v>0</v>
      </c>
      <c r="C14" s="8"/>
    </row>
    <row r="15" ht="24.75" customHeight="1">
      <c r="A15" s="6" t="s">
        <v>12</v>
      </c>
      <c r="B15" s="7">
        <f>SUM(报税记录!F:F)</f>
      </c>
      <c r="C15" s="8"/>
    </row>
    <row r="16" ht="24.75" customHeight="1">
      <c r="A16" s="6" t="s">
        <v>13</v>
      </c>
      <c r="B16" s="7">
        <f>SUM(免税账户管理!D:D)</f>
        <v>0</v>
      </c>
      <c r="C16" s="8"/>
    </row>
    <row r="17" ht="24.75" customHeight="1">
      <c r="A17" s="6" t="s">
        <v>14</v>
      </c>
      <c r="B17" s="7">
        <f>SUM(教育账户管理!D:D)</f>
        <v>0</v>
      </c>
      <c r="C17" s="8"/>
    </row>
  </sheetData>
  <mergeCells>
    <mergeCell ref="A1:C1"/>
    <mergeCell ref="A11:C11"/>
  </mergeCells>
  <hyperlinks>
    <hyperlink ref="B3" r:id="rId1" display="点击查看明细"/>
    <hyperlink ref="B4" r:id="rId2" display="点击查看明细"/>
    <hyperlink ref="B5" r:id="rId3" display="点击查看明细"/>
    <hyperlink ref="B6" r:id="rId4" display="点击查看明细"/>
    <hyperlink ref="B7" r:id="rId5" display="点击查看明细"/>
    <hyperlink ref="B8" r:id="rId6" display="点击查看明细"/>
  </hyperlink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4B129C8-21F9-A2D8-5238-12A2CB73EAE8}" mc:Ignorable="x14ac xr xr2 xr3">
  <dimension ref="A1:G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8.00390625" customWidth="1"/>
    <col min="2" max="2" width="20.00390625" customWidth="1"/>
    <col min="3" max="3" width="18.00390625" customWidth="1"/>
    <col min="4" max="4" width="15.00390625" customWidth="1"/>
    <col min="5" max="5" width="18.00390625" customWidth="1"/>
    <col min="6" max="6" width="25.00390625" customWidth="1"/>
    <col min="7" max="7" width="15.00390625" customWidth="1"/>
  </cols>
  <sheetData>
    <row r="1" ht="15" customHeight="1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</row>
    <row r="2" ht="15" customHeight="1">
      <c r="G2" s="10">
        <f>IF(E2="",0,E2)+IF(ROW()&gt;2,G1,0)</f>
        <v>0</v>
      </c>
    </row>
    <row r="3" ht="30" customHeight="1">
      <c r="A3" s="11" t="s">
        <v>22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54B0A28-6FB5-01EA-8425-5EA6BA92B398}" mc:Ignorable="x14ac xr xr2 xr3">
  <dimension ref="A1:I25"/>
  <sheetViews>
    <sheetView topLeftCell="A1" workbookViewId="0">
      <pane ySplit="1" topLeftCell="A3" activePane="bottomLeft" state="frozen"/>
      <selection pane="bottomLeft" activeCell="A1" sqref="A1"/>
    </sheetView>
  </sheetViews>
  <sheetFormatPr defaultRowHeight="15" defaultColWidth="9.140625" customHeight="1"/>
  <cols>
    <col min="1" max="1" width="12.00390625" customWidth="1"/>
    <col min="2" max="4" width="15.00390625" customWidth="1"/>
    <col min="5" max="5" width="10.00390625" customWidth="1"/>
    <col min="6" max="7" width="15.00390625" customWidth="1"/>
    <col min="8" max="8" width="25.00390625" customWidth="1"/>
    <col min="9" max="9" width="15.00390625" customWidth="1"/>
  </cols>
  <sheetData>
    <row r="1" ht="15" customHeight="1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20</v>
      </c>
      <c r="I1" s="9" t="s">
        <v>30</v>
      </c>
    </row>
    <row r="2" ht="15" customHeight="1">
      <c r="I2" s="10">
        <f>IF(C2="",0,C2)+IF(ROW()&gt;2,I1,0)</f>
        <v>0</v>
      </c>
    </row>
    <row r="3" ht="30" customHeight="1">
      <c r="A3" s="11" t="s">
        <v>22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1DB5877-62D5-A666-FE88-0590C4901168}" mc:Ignorable="x14ac xr xr2 xr3">
  <dimension ref="A1:I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2.00390625" customWidth="1"/>
    <col min="2" max="3" width="15.00390625" customWidth="1"/>
    <col min="4" max="4" width="18.00390625" customWidth="1"/>
    <col min="5" max="7" width="15.00390625" customWidth="1"/>
    <col min="8" max="8" width="12.00390625" customWidth="1"/>
    <col min="9" max="9" width="18.00390625" customWidth="1"/>
  </cols>
  <sheetData>
    <row r="1" ht="15" customHeight="1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</row>
    <row r="2" ht="15" customHeight="1">
      <c r="F2" s="12">
        <f>IF(E2="",0,E2)-IF(F2="",0,F2)</f>
      </c>
    </row>
    <row r="3" ht="30" customHeight="1">
      <c r="A3" s="11" t="s">
        <v>22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8C85278-52DE-2365-3A64-9F6BE58DE9D8}" mc:Ignorable="x14ac xr xr2 xr3">
  <dimension ref="A1:I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0.00390625" customWidth="1"/>
    <col min="2" max="2" width="18.00390625" customWidth="1"/>
    <col min="3" max="4" width="15.00390625" customWidth="1"/>
    <col min="5" max="5" width="18.00390625" customWidth="1"/>
    <col min="6" max="8" width="15.00390625" customWidth="1"/>
    <col min="9" max="9" width="12.00390625" customWidth="1"/>
  </cols>
  <sheetData>
    <row r="1" ht="15" customHeight="1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ht="15" customHeight="1">
      <c r="G2" s="10">
        <f>D2</f>
        <v>0</v>
      </c>
    </row>
    <row r="3" ht="30" customHeight="1">
      <c r="A3" s="11" t="s">
        <v>22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F4ACF67-474B-CBCC-D288-E9B3EC2DF177}" mc:Ignorable="x14ac xr xr2 xr3">
  <dimension ref="A1:I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5.00390625" customWidth="1"/>
    <col min="2" max="2" width="20.00390625" customWidth="1"/>
    <col min="3" max="3" width="18.00390625" customWidth="1"/>
    <col min="4" max="6" width="15.00390625" customWidth="1"/>
    <col min="7" max="7" width="12.00390625" customWidth="1"/>
    <col min="8" max="8" width="15.00390625" customWidth="1"/>
    <col min="9" max="9" width="25.00390625" customWidth="1"/>
  </cols>
  <sheetData>
    <row r="1" ht="15" customHeight="1">
      <c r="A1" s="9" t="s">
        <v>49</v>
      </c>
      <c r="B1" s="9" t="s">
        <v>40</v>
      </c>
      <c r="C1" s="9" t="s">
        <v>41</v>
      </c>
      <c r="D1" s="9" t="s">
        <v>43</v>
      </c>
      <c r="E1" s="9" t="s">
        <v>50</v>
      </c>
      <c r="F1" s="9" t="s">
        <v>51</v>
      </c>
      <c r="G1" s="9" t="s">
        <v>52</v>
      </c>
      <c r="H1" s="9" t="s">
        <v>47</v>
      </c>
      <c r="I1" s="9" t="s">
        <v>20</v>
      </c>
    </row>
    <row r="3" ht="30" customHeight="1">
      <c r="A3" s="11" t="s">
        <v>22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F9D2294-72A5-AC68-5602-AB5A3FC270C8}" mc:Ignorable="x14ac xr xr2 xr3">
  <dimension ref="A1:J2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5.00390625" customWidth="1"/>
    <col min="2" max="2" width="12.00390625" customWidth="1"/>
    <col min="3" max="4" width="15.00390625" customWidth="1"/>
    <col min="5" max="5" width="18.00390625" customWidth="1"/>
    <col min="6" max="6" width="20.00390625" customWidth="1"/>
    <col min="7" max="7" width="25.00390625" customWidth="1"/>
    <col min="8" max="8" width="15.00390625" customWidth="1"/>
    <col min="9" max="9" width="12.00390625" customWidth="1"/>
    <col min="10" max="10" width="10.00390625" customWidth="1"/>
  </cols>
  <sheetData>
    <row r="1" ht="15" customHeight="1">
      <c r="A1" s="9" t="s">
        <v>53</v>
      </c>
      <c r="B1" s="9" t="s">
        <v>54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  <c r="H1" s="9" t="s">
        <v>60</v>
      </c>
      <c r="I1" s="9" t="s">
        <v>61</v>
      </c>
      <c r="J1" s="9" t="s">
        <v>62</v>
      </c>
    </row>
    <row r="3" ht="30" customHeight="1">
      <c r="A3" s="11" t="s">
        <v>22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2026-01-21T01:18:51Z</dcterms:created>
  <dcterms:modified xsi:type="dcterms:W3CDTF">2026-01-21T01:18:51Z</dcterms:modified>
</cp:coreProperties>
</file>